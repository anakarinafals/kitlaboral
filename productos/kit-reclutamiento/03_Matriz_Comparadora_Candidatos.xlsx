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Candi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A4A8A"/>
      <sz val="14"/>
    </font>
    <font>
      <name val="Calibri"/>
      <b val="1"/>
      <color rgb="00FFFFFF"/>
      <sz val="13"/>
    </font>
    <font>
      <name val="Calibri"/>
      <color rgb="002A3142"/>
      <sz val="10.5"/>
    </font>
    <font>
      <name val="Calibri"/>
      <b val="1"/>
      <color rgb="001A4A8A"/>
      <sz val="12"/>
    </font>
    <font>
      <name val="Calibri"/>
      <b val="1"/>
      <color rgb="002E6B33"/>
      <sz val="10"/>
    </font>
    <font>
      <name val="Calibri"/>
      <color rgb="002A3142"/>
      <sz val="10"/>
    </font>
    <font>
      <name val="Calibri"/>
      <b val="1"/>
      <color rgb="008A6D1A"/>
      <sz val="10"/>
    </font>
    <font>
      <name val="Calibri"/>
      <b val="1"/>
      <color rgb="009B2C2C"/>
      <sz val="10"/>
    </font>
    <font>
      <name val="Calibri"/>
      <i val="1"/>
      <color rgb="006B6F7A"/>
      <sz val="9.5"/>
    </font>
    <font>
      <name val="Calibri"/>
      <b val="1"/>
      <color rgb="00FFFFFF"/>
      <sz val="10"/>
    </font>
    <font>
      <name val="Calibri"/>
      <b val="1"/>
      <color rgb="002A3142"/>
      <sz val="10.5"/>
    </font>
    <font>
      <name val="Calibri"/>
      <b val="1"/>
      <color rgb="001A4A8A"/>
      <sz val="11"/>
    </font>
    <font>
      <name val="Calibri"/>
      <b val="1"/>
      <color rgb="00FFFFFF"/>
      <sz val="10.5"/>
    </font>
    <font>
      <name val="Calibri"/>
      <b val="1"/>
      <sz val="12"/>
    </font>
    <font>
      <name val="Calibri"/>
      <b val="1"/>
      <sz val="10"/>
    </font>
    <font>
      <name val="Calibri"/>
      <b val="1"/>
      <color rgb="002E6B33"/>
      <sz val="10.5"/>
    </font>
    <font>
      <name val="Calibri"/>
      <b val="1"/>
      <color rgb="008A6D1A"/>
      <sz val="10.5"/>
    </font>
    <font>
      <name val="Calibri"/>
      <b val="1"/>
      <color rgb="006B6F7A"/>
      <sz val="10"/>
    </font>
    <font>
      <name val="Calibri"/>
      <color rgb="002A3142"/>
      <sz val="11"/>
    </font>
    <font>
      <name val="Calibri"/>
      <b val="1"/>
      <color rgb="002A3142"/>
      <sz val="11"/>
    </font>
  </fonts>
  <fills count="8">
    <fill>
      <patternFill/>
    </fill>
    <fill>
      <patternFill patternType="gray125"/>
    </fill>
    <fill>
      <patternFill patternType="solid">
        <fgColor rgb="002A3142"/>
      </patternFill>
    </fill>
    <fill>
      <patternFill patternType="solid">
        <fgColor rgb="001A4A8A"/>
      </patternFill>
    </fill>
    <fill>
      <patternFill patternType="solid">
        <fgColor rgb="00C6E7C8"/>
      </patternFill>
    </fill>
    <fill>
      <patternFill patternType="solid">
        <fgColor rgb="00FFF2C4"/>
      </patternFill>
    </fill>
    <fill>
      <patternFill patternType="solid">
        <fgColor rgb="00F5C6C6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E8E3D7"/>
      </left>
      <right style="thin">
        <color rgb="00E8E3D7"/>
      </right>
      <top style="thin">
        <color rgb="00E8E3D7"/>
      </top>
      <bottom style="thin">
        <color rgb="00E8E3D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 indent="1"/>
    </xf>
    <xf numFmtId="0" fontId="11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 indent="1"/>
    </xf>
    <xf numFmtId="164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4" fillId="2" borderId="1" applyAlignment="1" pivotButton="0" quotePrefix="0" xfId="0">
      <alignment horizontal="right" vertical="center" indent="1"/>
    </xf>
    <xf numFmtId="164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165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8" fillId="5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20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2E6B33"/>
      </font>
      <fill>
        <patternFill patternType="solid">
          <fgColor rgb="00C6E7C8"/>
        </patternFill>
      </fill>
    </dxf>
    <dxf>
      <font>
        <name val="Calibri"/>
        <b val="1"/>
        <color rgb="009B2C2C"/>
      </font>
      <fill>
        <patternFill patternType="solid">
          <fgColor rgb="00F5C6C6"/>
        </patternFill>
      </fill>
    </dxf>
    <dxf>
      <font>
        <name val="Calibri"/>
        <b val="1"/>
        <color rgb="008A6D1A"/>
      </font>
      <fill>
        <patternFill patternType="solid">
          <fgColor rgb="00FFF2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3142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  <col width="3" customWidth="1" min="4" max="4"/>
  </cols>
  <sheetData>
    <row r="1" ht="30" customHeight="1">
      <c r="A1" s="1" t="inlineStr">
        <is>
          <t>KIT LABORAL  ·  Kit Reclutamiento y Selección   —   Matriz Comparadora de Candidatos</t>
        </is>
      </c>
      <c r="B1" s="2" t="n"/>
      <c r="C1" s="2" t="n"/>
      <c r="D1" s="2" t="n"/>
    </row>
    <row r="3" ht="24" customHeight="1">
      <c r="B3" s="3" t="inlineStr">
        <is>
          <t>Cómo usar esta matriz</t>
        </is>
      </c>
    </row>
    <row r="5" ht="44" customHeight="1">
      <c r="B5" s="4" t="inlineStr">
        <is>
          <t>1</t>
        </is>
      </c>
      <c r="C5" s="5" t="inlineStr">
        <is>
          <t>Anda a la hoja «Configuración» y revisa los criterios de evaluación. Puedes cambiar sus nombres y sus ponderaciones según lo que importe para TU cargo. Las ponderaciones deben sumar 100% — la celda de total te avisa en verde si está correcto y en rojo si no.</t>
        </is>
      </c>
    </row>
    <row r="7" ht="44" customHeight="1">
      <c r="B7" s="4" t="inlineStr">
        <is>
          <t>2</t>
        </is>
      </c>
      <c r="C7" s="5" t="inlineStr">
        <is>
          <t>En la hoja «Candidatos», escribe el nombre de cada candidato/a (hasta 10) y ponle nota de 1 a 5 en cada criterio, usando los puntajes de la Pauta de Entrevista (Archivo 2). 1 = muy débil · 3 = aceptable · 5 = excelente.</t>
        </is>
      </c>
    </row>
    <row r="9" ht="44" customHeight="1">
      <c r="B9" s="4" t="inlineStr">
        <is>
          <t>3</t>
        </is>
      </c>
      <c r="C9" s="5" t="inlineStr">
        <is>
          <t>El puntaje ponderado se calcula solo cuando completas las 6 notas del candidato/a. No tienes que hacer ningún cálculo.</t>
        </is>
      </c>
    </row>
    <row r="11" ht="44" customHeight="1">
      <c r="B11" s="4" t="inlineStr">
        <is>
          <t>4</t>
        </is>
      </c>
      <c r="C11" s="5" t="inlineStr">
        <is>
          <t>La columna «Ranking» ordena automáticamente a los candidatos (1 = el mejor) y la columna «Decisión» muestra el semáforo según el puntaje.</t>
        </is>
      </c>
    </row>
    <row r="13" ht="44" customHeight="1">
      <c r="B13" s="4" t="inlineStr">
        <is>
          <t>5</t>
        </is>
      </c>
      <c r="C13" s="5" t="inlineStr">
        <is>
          <t>Los umbrales del semáforo también son editables en «Configuración» (por defecto: verde desde 4,0 y amarillo desde 3,0).</t>
        </is>
      </c>
    </row>
    <row r="16">
      <c r="B16" s="6" t="inlineStr">
        <is>
          <t>El semáforo de decisión</t>
        </is>
      </c>
    </row>
    <row r="17" ht="30" customHeight="1">
      <c r="B17" s="7" t="inlineStr">
        <is>
          <t>✔  CONTRATABLE</t>
        </is>
      </c>
      <c r="C17" s="8" t="inlineStr">
        <is>
          <t>Puntaje 4,0 o más. Cumple con lo que buscas: haz la oferta con confianza.</t>
        </is>
      </c>
    </row>
    <row r="18" ht="30" customHeight="1">
      <c r="B18" s="9" t="inlineStr">
        <is>
          <t>●  CON RESERVAS</t>
        </is>
      </c>
      <c r="C18" s="8" t="inlineStr">
        <is>
          <t>Entre 3,0 y 3,9. Sirve, pero con dudas: considera una segunda entrevista o revisa referencias.</t>
        </is>
      </c>
    </row>
    <row r="19" ht="30" customHeight="1">
      <c r="B19" s="10" t="inlineStr">
        <is>
          <t>✖  NO RECOMENDADO</t>
        </is>
      </c>
      <c r="C19" s="8" t="inlineStr">
        <is>
          <t>Menos de 3,0. No cumple el mínimo: sigue buscando, una mala contratación sale cara.</t>
        </is>
      </c>
    </row>
    <row r="21" ht="30" customHeight="1">
      <c r="B21" s="11" t="inlineStr">
        <is>
          <t>Consejo: el semáforo ordena tu decisión, pero no la reemplaza. Si dos candidatos quedan cerca, vuelve a tus notas de entrevista y a las referencias antes de decidir.</t>
        </is>
      </c>
    </row>
  </sheetData>
  <mergeCells count="7">
    <mergeCell ref="A1:D1"/>
    <mergeCell ref="B21:C21"/>
    <mergeCell ref="B16:C16"/>
    <mergeCell ref="B17"/>
    <mergeCell ref="B18"/>
    <mergeCell ref="B3:C3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1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</cols>
  <sheetData>
    <row r="1" ht="30" customHeight="1">
      <c r="A1" s="1" t="inlineStr">
        <is>
          <t>KIT LABORAL  ·  Kit Reclutamiento y Selección   —   Configuración de criterios</t>
        </is>
      </c>
      <c r="B1" s="2" t="n"/>
      <c r="C1" s="2" t="n"/>
    </row>
    <row r="2" ht="26" customHeight="1">
      <c r="A2" s="12" t="inlineStr">
        <is>
          <t>Edita los nombres y ponderaciones según tu cargo. La suma debe dar 100%. Los criterios vienen alineados con la Pauta de Entrevista del Archivo 2.</t>
        </is>
      </c>
    </row>
    <row r="3" ht="22" customHeight="1">
      <c r="A3" s="13" t="inlineStr">
        <is>
          <t>Criterio de evaluación</t>
        </is>
      </c>
      <c r="B3" s="13" t="inlineStr">
        <is>
          <t>Ponderación (%)</t>
        </is>
      </c>
      <c r="C3" s="13" t="inlineStr">
        <is>
          <t>Qué mirar al evaluar</t>
        </is>
      </c>
    </row>
    <row r="4" ht="30" customHeight="1">
      <c r="A4" s="14" t="inlineStr">
        <is>
          <t>Experiencia y conocimientos del cargo</t>
        </is>
      </c>
      <c r="B4" s="15" t="n">
        <v>25</v>
      </c>
      <c r="C4" s="16" t="inlineStr">
        <is>
          <t>¿Ha hecho antes tareas parecidas? ¿Domina las herramientas que el cargo necesita?</t>
        </is>
      </c>
    </row>
    <row r="5" ht="30" customHeight="1">
      <c r="A5" s="14" t="inlineStr">
        <is>
          <t>Resolución de problemas</t>
        </is>
      </c>
      <c r="B5" s="15" t="n">
        <v>15</v>
      </c>
      <c r="C5" s="16" t="inlineStr">
        <is>
          <t>¿Da ejemplos reales de problemas que resolvió? ¿Se hace cargo de sus errores?</t>
        </is>
      </c>
    </row>
    <row r="6" ht="30" customHeight="1">
      <c r="A6" s="14" t="inlineStr">
        <is>
          <t>Trabajo en equipo y comunicación</t>
        </is>
      </c>
      <c r="B6" s="15" t="n">
        <v>15</v>
      </c>
      <c r="C6" s="16" t="inlineStr">
        <is>
          <t>¿Maneja bien los desacuerdos? ¿Se explica con claridad?</t>
        </is>
      </c>
    </row>
    <row r="7" ht="30" customHeight="1">
      <c r="A7" s="14" t="inlineStr">
        <is>
          <t>Responsabilidad y organización</t>
        </is>
      </c>
      <c r="B7" s="15" t="n">
        <v>15</v>
      </c>
      <c r="C7" s="16" t="inlineStr">
        <is>
          <t>¿Prioriza bien? ¿Cumple plazos y compromisos?</t>
        </is>
      </c>
    </row>
    <row r="8" ht="30" customHeight="1">
      <c r="A8" s="14" t="inlineStr">
        <is>
          <t>Motivación y ajuste al puesto</t>
        </is>
      </c>
      <c r="B8" s="15" t="n">
        <v>15</v>
      </c>
      <c r="C8" s="16" t="inlineStr">
        <is>
          <t>¿Le interesa este trabajo en concreto o cualquier trabajo? ¿Sus expectativas calzan con lo que ofreces?</t>
        </is>
      </c>
    </row>
    <row r="9" ht="30" customHeight="1">
      <c r="A9" s="14" t="inlineStr">
        <is>
          <t>Referencias laborales</t>
        </is>
      </c>
      <c r="B9" s="15" t="n">
        <v>15</v>
      </c>
      <c r="C9" s="16" t="inlineStr">
        <is>
          <t>¿Sus ex jefaturas lo/la volverían a contratar? (guion de referencias del Archivo 2)</t>
        </is>
      </c>
    </row>
    <row r="10" ht="24" customHeight="1">
      <c r="A10" s="17" t="inlineStr">
        <is>
          <t>TOTAL (debe sumar 100%)</t>
        </is>
      </c>
      <c r="B10" s="18">
        <f>SUM(B4:B9)</f>
        <v/>
      </c>
      <c r="C10" s="19">
        <f>IF(B10=100,"✔ Correcto: las ponderaciones suman 100%.","✖ Atención: deben sumar 100% (ahora suman "&amp;B10&amp;"%). Ajusta la columna B.")</f>
        <v/>
      </c>
    </row>
    <row r="12" ht="22" customHeight="1">
      <c r="A12" s="6" t="inlineStr">
        <is>
          <t>Umbrales del semáforo de decisión (editables)</t>
        </is>
      </c>
    </row>
    <row r="13" ht="22" customHeight="1">
      <c r="A13" s="20" t="inlineStr">
        <is>
          <t>✔ CONTRATABLE desde (puntaje)</t>
        </is>
      </c>
      <c r="B13" s="21" t="n">
        <v>4</v>
      </c>
      <c r="C13" s="22" t="inlineStr">
        <is>
          <t>Con 4,0 o más el candidato/a queda en verde.</t>
        </is>
      </c>
    </row>
    <row r="14" ht="22" customHeight="1">
      <c r="A14" s="23" t="inlineStr">
        <is>
          <t>● CON RESERVAS desde (puntaje)</t>
        </is>
      </c>
      <c r="B14" s="21" t="n">
        <v>3</v>
      </c>
      <c r="C14" s="22" t="inlineStr">
        <is>
          <t>Entre este valor y el verde queda en amarillo. Bajo este valor, queda en rojo.</t>
        </is>
      </c>
    </row>
  </sheetData>
  <mergeCells count="3">
    <mergeCell ref="A1:C1"/>
    <mergeCell ref="A2:C2"/>
    <mergeCell ref="A12:C12"/>
  </mergeCells>
  <conditionalFormatting sqref="B10:C10">
    <cfRule type="expression" priority="1" dxfId="0">
      <formula>$B$10=100</formula>
    </cfRule>
    <cfRule type="expression" priority="2" dxfId="1">
      <formula>$B$10&lt;&gt;100</formula>
    </cfRule>
  </conditionalFormatting>
  <dataValidations count="2">
    <dataValidation sqref="B4:B9" showDropDown="0" showInputMessage="0" showErrorMessage="0" allowBlank="0" errorTitle="Ponderación inválida" error="Ingresa un número entero entre 0 y 100." type="whole" operator="between">
      <formula1>0</formula1>
      <formula2>100</formula2>
    </dataValidation>
    <dataValidation sqref="B13:B14" showDropDown="0" showInputMessage="0" showErrorMessage="0" allowBlank="0" errorTitle="Umbral inválido" error="Ingresa un valor entre 1 y 5." type="decimal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4A8A"/>
    <outlinePr summaryBelow="1" summaryRight="1"/>
    <pageSetUpPr/>
  </sheetPr>
  <dimension ref="A1:K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22" customWidth="1" min="11" max="11"/>
  </cols>
  <sheetData>
    <row r="1" ht="30" customHeight="1">
      <c r="A1" s="1" t="inlineStr">
        <is>
          <t>KIT LABORAL  ·  Kit Reclutamiento y Selección   —   Comparación de candidatos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6" customHeight="1">
      <c r="A2" s="12" t="inlineStr">
        <is>
          <t>Puntúa de 1 a 5 cada criterio (usa la Pauta de Entrevista del Archivo 2). El puntaje ponderado, el ranking y el semáforo se calculan solos al completar las 6 notas.</t>
        </is>
      </c>
    </row>
    <row r="3" ht="42" customHeight="1">
      <c r="A3" s="24" t="inlineStr">
        <is>
          <t>#</t>
        </is>
      </c>
      <c r="B3" s="24" t="inlineStr">
        <is>
          <t>Candidato/a</t>
        </is>
      </c>
      <c r="C3" s="13">
        <f>Configuración!A4</f>
        <v/>
      </c>
      <c r="D3" s="13">
        <f>Configuración!A5</f>
        <v/>
      </c>
      <c r="E3" s="13">
        <f>Configuración!A6</f>
        <v/>
      </c>
      <c r="F3" s="13">
        <f>Configuración!A7</f>
        <v/>
      </c>
      <c r="G3" s="13">
        <f>Configuración!A8</f>
        <v/>
      </c>
      <c r="H3" s="13">
        <f>Configuración!A9</f>
        <v/>
      </c>
      <c r="I3" s="24" t="inlineStr">
        <is>
          <t>Puntaje ponderado</t>
        </is>
      </c>
      <c r="J3" s="24" t="inlineStr">
        <is>
          <t>Ranking</t>
        </is>
      </c>
      <c r="K3" s="24" t="inlineStr">
        <is>
          <t>Decisión</t>
        </is>
      </c>
    </row>
    <row r="4" ht="24" customHeight="1">
      <c r="A4" s="25" t="n">
        <v>1</v>
      </c>
      <c r="B4" s="26" t="n"/>
      <c r="C4" s="27" t="n"/>
      <c r="D4" s="27" t="n"/>
      <c r="E4" s="27" t="n"/>
      <c r="F4" s="27" t="n"/>
      <c r="G4" s="27" t="n"/>
      <c r="H4" s="27" t="n"/>
      <c r="I4" s="28">
        <f>IF(COUNT(C4:H4)&lt;6,"",ROUND(SUMPRODUCT(C4:H4,$C$15:$H$15)/100,2))</f>
        <v/>
      </c>
      <c r="J4" s="29">
        <f>IF($I4="","",RANK($I4,$I$4:$I$13))</f>
        <v/>
      </c>
      <c r="K4" s="30">
        <f>IF($I4="","",IF($I4&gt;=$J$15,"✔ CONTRATABLE",IF($I4&gt;=$K$15,"● CON RESERVAS","✖ NO RECOMENDADO")))</f>
        <v/>
      </c>
    </row>
    <row r="5" ht="24" customHeight="1">
      <c r="A5" s="25" t="n">
        <v>2</v>
      </c>
      <c r="B5" s="26" t="n"/>
      <c r="C5" s="27" t="n"/>
      <c r="D5" s="27" t="n"/>
      <c r="E5" s="27" t="n"/>
      <c r="F5" s="27" t="n"/>
      <c r="G5" s="27" t="n"/>
      <c r="H5" s="27" t="n"/>
      <c r="I5" s="28">
        <f>IF(COUNT(C5:H5)&lt;6,"",ROUND(SUMPRODUCT(C5:H5,$C$15:$H$15)/100,2))</f>
        <v/>
      </c>
      <c r="J5" s="29">
        <f>IF($I5="","",RANK($I5,$I$4:$I$13))</f>
        <v/>
      </c>
      <c r="K5" s="30">
        <f>IF($I5="","",IF($I5&gt;=$J$15,"✔ CONTRATABLE",IF($I5&gt;=$K$15,"● CON RESERVAS","✖ NO RECOMENDADO")))</f>
        <v/>
      </c>
    </row>
    <row r="6" ht="24" customHeight="1">
      <c r="A6" s="25" t="n">
        <v>3</v>
      </c>
      <c r="B6" s="26" t="n"/>
      <c r="C6" s="27" t="n"/>
      <c r="D6" s="27" t="n"/>
      <c r="E6" s="27" t="n"/>
      <c r="F6" s="27" t="n"/>
      <c r="G6" s="27" t="n"/>
      <c r="H6" s="27" t="n"/>
      <c r="I6" s="28">
        <f>IF(COUNT(C6:H6)&lt;6,"",ROUND(SUMPRODUCT(C6:H6,$C$15:$H$15)/100,2))</f>
        <v/>
      </c>
      <c r="J6" s="29">
        <f>IF($I6="","",RANK($I6,$I$4:$I$13))</f>
        <v/>
      </c>
      <c r="K6" s="30">
        <f>IF($I6="","",IF($I6&gt;=$J$15,"✔ CONTRATABLE",IF($I6&gt;=$K$15,"● CON RESERVAS","✖ NO RECOMENDADO")))</f>
        <v/>
      </c>
    </row>
    <row r="7" ht="24" customHeight="1">
      <c r="A7" s="25" t="n">
        <v>4</v>
      </c>
      <c r="B7" s="26" t="n"/>
      <c r="C7" s="27" t="n"/>
      <c r="D7" s="27" t="n"/>
      <c r="E7" s="27" t="n"/>
      <c r="F7" s="27" t="n"/>
      <c r="G7" s="27" t="n"/>
      <c r="H7" s="27" t="n"/>
      <c r="I7" s="28">
        <f>IF(COUNT(C7:H7)&lt;6,"",ROUND(SUMPRODUCT(C7:H7,$C$15:$H$15)/100,2))</f>
        <v/>
      </c>
      <c r="J7" s="29">
        <f>IF($I7="","",RANK($I7,$I$4:$I$13))</f>
        <v/>
      </c>
      <c r="K7" s="30">
        <f>IF($I7="","",IF($I7&gt;=$J$15,"✔ CONTRATABLE",IF($I7&gt;=$K$15,"● CON RESERVAS","✖ NO RECOMENDADO")))</f>
        <v/>
      </c>
    </row>
    <row r="8" ht="24" customHeight="1">
      <c r="A8" s="25" t="n">
        <v>5</v>
      </c>
      <c r="B8" s="26" t="n"/>
      <c r="C8" s="27" t="n"/>
      <c r="D8" s="27" t="n"/>
      <c r="E8" s="27" t="n"/>
      <c r="F8" s="27" t="n"/>
      <c r="G8" s="27" t="n"/>
      <c r="H8" s="27" t="n"/>
      <c r="I8" s="28">
        <f>IF(COUNT(C8:H8)&lt;6,"",ROUND(SUMPRODUCT(C8:H8,$C$15:$H$15)/100,2))</f>
        <v/>
      </c>
      <c r="J8" s="29">
        <f>IF($I8="","",RANK($I8,$I$4:$I$13))</f>
        <v/>
      </c>
      <c r="K8" s="30">
        <f>IF($I8="","",IF($I8&gt;=$J$15,"✔ CONTRATABLE",IF($I8&gt;=$K$15,"● CON RESERVAS","✖ NO RECOMENDADO")))</f>
        <v/>
      </c>
    </row>
    <row r="9" ht="24" customHeight="1">
      <c r="A9" s="25" t="n">
        <v>6</v>
      </c>
      <c r="B9" s="26" t="n"/>
      <c r="C9" s="27" t="n"/>
      <c r="D9" s="27" t="n"/>
      <c r="E9" s="27" t="n"/>
      <c r="F9" s="27" t="n"/>
      <c r="G9" s="27" t="n"/>
      <c r="H9" s="27" t="n"/>
      <c r="I9" s="28">
        <f>IF(COUNT(C9:H9)&lt;6,"",ROUND(SUMPRODUCT(C9:H9,$C$15:$H$15)/100,2))</f>
        <v/>
      </c>
      <c r="J9" s="29">
        <f>IF($I9="","",RANK($I9,$I$4:$I$13))</f>
        <v/>
      </c>
      <c r="K9" s="30">
        <f>IF($I9="","",IF($I9&gt;=$J$15,"✔ CONTRATABLE",IF($I9&gt;=$K$15,"● CON RESERVAS","✖ NO RECOMENDADO")))</f>
        <v/>
      </c>
    </row>
    <row r="10" ht="24" customHeight="1">
      <c r="A10" s="25" t="n">
        <v>7</v>
      </c>
      <c r="B10" s="26" t="n"/>
      <c r="C10" s="27" t="n"/>
      <c r="D10" s="27" t="n"/>
      <c r="E10" s="27" t="n"/>
      <c r="F10" s="27" t="n"/>
      <c r="G10" s="27" t="n"/>
      <c r="H10" s="27" t="n"/>
      <c r="I10" s="28">
        <f>IF(COUNT(C10:H10)&lt;6,"",ROUND(SUMPRODUCT(C10:H10,$C$15:$H$15)/100,2))</f>
        <v/>
      </c>
      <c r="J10" s="29">
        <f>IF($I10="","",RANK($I10,$I$4:$I$13))</f>
        <v/>
      </c>
      <c r="K10" s="30">
        <f>IF($I10="","",IF($I10&gt;=$J$15,"✔ CONTRATABLE",IF($I10&gt;=$K$15,"● CON RESERVAS","✖ NO RECOMENDADO")))</f>
        <v/>
      </c>
    </row>
    <row r="11" ht="24" customHeight="1">
      <c r="A11" s="25" t="n">
        <v>8</v>
      </c>
      <c r="B11" s="26" t="n"/>
      <c r="C11" s="27" t="n"/>
      <c r="D11" s="27" t="n"/>
      <c r="E11" s="27" t="n"/>
      <c r="F11" s="27" t="n"/>
      <c r="G11" s="27" t="n"/>
      <c r="H11" s="27" t="n"/>
      <c r="I11" s="28">
        <f>IF(COUNT(C11:H11)&lt;6,"",ROUND(SUMPRODUCT(C11:H11,$C$15:$H$15)/100,2))</f>
        <v/>
      </c>
      <c r="J11" s="29">
        <f>IF($I11="","",RANK($I11,$I$4:$I$13))</f>
        <v/>
      </c>
      <c r="K11" s="30">
        <f>IF($I11="","",IF($I11&gt;=$J$15,"✔ CONTRATABLE",IF($I11&gt;=$K$15,"● CON RESERVAS","✖ NO RECOMENDADO")))</f>
        <v/>
      </c>
    </row>
    <row r="12" ht="24" customHeight="1">
      <c r="A12" s="25" t="n">
        <v>9</v>
      </c>
      <c r="B12" s="26" t="n"/>
      <c r="C12" s="27" t="n"/>
      <c r="D12" s="27" t="n"/>
      <c r="E12" s="27" t="n"/>
      <c r="F12" s="27" t="n"/>
      <c r="G12" s="27" t="n"/>
      <c r="H12" s="27" t="n"/>
      <c r="I12" s="28">
        <f>IF(COUNT(C12:H12)&lt;6,"",ROUND(SUMPRODUCT(C12:H12,$C$15:$H$15)/100,2))</f>
        <v/>
      </c>
      <c r="J12" s="29">
        <f>IF($I12="","",RANK($I12,$I$4:$I$13))</f>
        <v/>
      </c>
      <c r="K12" s="30">
        <f>IF($I12="","",IF($I12&gt;=$J$15,"✔ CONTRATABLE",IF($I12&gt;=$K$15,"● CON RESERVAS","✖ NO RECOMENDADO")))</f>
        <v/>
      </c>
    </row>
    <row r="13" ht="24" customHeight="1">
      <c r="A13" s="25" t="n">
        <v>10</v>
      </c>
      <c r="B13" s="26" t="n"/>
      <c r="C13" s="27" t="n"/>
      <c r="D13" s="27" t="n"/>
      <c r="E13" s="27" t="n"/>
      <c r="F13" s="27" t="n"/>
      <c r="G13" s="27" t="n"/>
      <c r="H13" s="27" t="n"/>
      <c r="I13" s="28">
        <f>IF(COUNT(C13:H13)&lt;6,"",ROUND(SUMPRODUCT(C13:H13,$C$15:$H$15)/100,2))</f>
        <v/>
      </c>
      <c r="J13" s="29">
        <f>IF($I13="","",RANK($I13,$I$4:$I$13))</f>
        <v/>
      </c>
      <c r="K13" s="30">
        <f>IF($I13="","",IF($I13&gt;=$J$15,"✔ CONTRATABLE",IF($I13&gt;=$K$15,"● CON RESERVAS","✖ NO RECOMENDADO")))</f>
        <v/>
      </c>
    </row>
    <row r="15" hidden="1">
      <c r="C15">
        <f>Configuración!B4</f>
        <v/>
      </c>
      <c r="D15">
        <f>Configuración!B5</f>
        <v/>
      </c>
      <c r="E15">
        <f>Configuración!B6</f>
        <v/>
      </c>
      <c r="F15">
        <f>Configuración!B7</f>
        <v/>
      </c>
      <c r="G15">
        <f>Configuración!B8</f>
        <v/>
      </c>
      <c r="H15">
        <f>Configuración!B9</f>
        <v/>
      </c>
      <c r="J15">
        <f>Configuración!B13</f>
        <v/>
      </c>
      <c r="K15">
        <f>Configuración!B14</f>
        <v/>
      </c>
    </row>
  </sheetData>
  <mergeCells count="2">
    <mergeCell ref="A2:K2"/>
    <mergeCell ref="A1:K1"/>
  </mergeCells>
  <conditionalFormatting sqref="K4:K13">
    <cfRule type="expression" priority="1" dxfId="0">
      <formula>NOT(ISERROR(SEARCH("✔",K4)))</formula>
    </cfRule>
    <cfRule type="expression" priority="2" dxfId="2">
      <formula>NOT(ISERROR(SEARCH("RESERVAS",K4)))</formula>
    </cfRule>
    <cfRule type="expression" priority="3" dxfId="1">
      <formula>NOT(ISERROR(SEARCH("NO RECOMENDADO",K4)))</formula>
    </cfRule>
  </conditionalFormatting>
  <conditionalFormatting sqref="J4:J13">
    <cfRule type="cellIs" priority="4" operator="equal" dxfId="0">
      <formula>1</formula>
    </cfRule>
  </conditionalFormatting>
  <dataValidations count="1">
    <dataValidation sqref="C4:H13" showDropDown="0" showInputMessage="0" showErrorMessage="0" allowBlank="1" errorTitle="Puntaje inválido" error="El puntaje debe ser un número entero entre 1 y 5." promptTitle="Puntaje 1 a 5" prompt="1 = muy débil · 3 = aceptable · 5 = excelente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2026-07-02T17:58:36Z</dcterms:created>
  <dcterms:modified xmlns:dcterms="http://purl.org/dc/terms/" xmlns:xsi="http://www.w3.org/2001/XMLSchema-instance" xsi:type="dcterms:W3CDTF">2026-07-02T17:58:36Z</dcterms:modified>
</cp:coreProperties>
</file>